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Dự Toán Stack Đã Chọn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3">
    <numFmt numFmtId="164" formatCode="#,##0\ &quot;VND&quot;"/>
    <numFmt numFmtId="165" formatCode="\$#,##0.00"/>
    <numFmt numFmtId="166" formatCode="#,##0\ &quot;₫&quot;"/>
  </numFmts>
  <fonts count="10">
    <font>
      <name val="Calibri"/>
      <family val="2"/>
      <color theme="1"/>
      <sz val="11"/>
      <scheme val="minor"/>
    </font>
    <font>
      <name val="Segoe UI"/>
      <b val="1"/>
      <color rgb="FF0F172A"/>
      <sz val="15"/>
    </font>
    <font>
      <name val="Segoe UI"/>
      <i val="1"/>
      <color rgb="FF64748B"/>
      <sz val="10"/>
    </font>
    <font>
      <name val="Segoe UI"/>
      <b val="1"/>
      <color rgb="FF0F172A"/>
      <sz val="10"/>
    </font>
    <font>
      <name val="Segoe UI"/>
      <b val="1"/>
      <color rgb="FFFFFFFF"/>
      <sz val="10"/>
    </font>
    <font>
      <name val="Segoe UI"/>
      <b val="1"/>
      <color rgb="FF1E293B"/>
      <sz val="11"/>
    </font>
    <font>
      <name val="Segoe UI"/>
      <color rgb="FF64748B"/>
      <sz val="9"/>
    </font>
    <font>
      <name val="Segoe UI"/>
      <color rgb="FF1E293B"/>
      <sz val="10"/>
    </font>
    <font>
      <name val="Segoe UI"/>
      <b val="1"/>
      <color rgb="FF047857"/>
      <sz val="11"/>
    </font>
    <font>
      <name val="Calibri"/>
      <family val="2"/>
      <color theme="10"/>
      <sz val="11"/>
      <u val="single"/>
      <scheme val="minor"/>
    </font>
  </fonts>
  <fills count="8">
    <fill>
      <patternFill/>
    </fill>
    <fill>
      <patternFill patternType="gray125"/>
    </fill>
    <fill>
      <patternFill patternType="solid">
        <fgColor rgb="FFFEF3C7"/>
        <bgColor rgb="FFFEF3C7"/>
      </patternFill>
    </fill>
    <fill>
      <patternFill patternType="solid">
        <fgColor rgb="FF1E293B"/>
        <bgColor rgb="FF1E293B"/>
      </patternFill>
    </fill>
    <fill>
      <patternFill patternType="solid">
        <fgColor rgb="FFF1F5F9"/>
        <bgColor rgb="FFF1F5F9"/>
      </patternFill>
    </fill>
    <fill>
      <patternFill patternType="solid">
        <fgColor rgb="FFF8FAFC"/>
        <bgColor rgb="FFF8FAFC"/>
      </patternFill>
    </fill>
    <fill>
      <patternFill patternType="solid">
        <fgColor rgb="FFD1FAE5"/>
        <bgColor rgb="FFD1FAE5"/>
      </patternFill>
    </fill>
    <fill>
      <patternFill patternType="solid">
        <fgColor rgb="FF1D4ED8"/>
        <bgColor rgb="FF1D4ED8"/>
      </patternFill>
    </fill>
  </fills>
  <borders count="1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medium">
        <color rgb="FF1E293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double">
        <color rgb="FF047857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 style="double">
        <color rgb="FF047857"/>
      </bottom>
      <diagonal/>
    </border>
    <border>
      <left/>
      <right/>
      <top style="thin">
        <color rgb="FFCBD5E1"/>
      </top>
      <bottom style="medium">
        <color rgb="FF1E293B"/>
      </bottom>
      <diagonal/>
    </border>
    <border>
      <left/>
      <right style="thin">
        <color rgb="FFCBD5E1"/>
      </right>
      <top style="thin">
        <color rgb="FFCBD5E1"/>
      </top>
      <bottom style="medium">
        <color rgb="FF1E293B"/>
      </bottom>
      <diagonal/>
    </border>
    <border>
      <left/>
      <right/>
      <top style="thin">
        <color rgb="FFCBD5E1"/>
      </top>
      <bottom style="double">
        <color rgb="FF047857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thin">
        <color rgb="FFCBD5E1"/>
      </bottom>
      <diagonal/>
    </border>
  </borders>
  <cellStyleXfs count="2">
    <xf numFmtId="0" fontId="0" fillId="0" borderId="0"/>
    <xf numFmtId="0" fontId="9" fillId="0" borderId="0"/>
  </cellStyleXfs>
  <cellXfs count="42">
    <xf numFmtId="0" fontId="0" fillId="0" borderId="0" pivotButton="0" quotePrefix="0" xfId="0"/>
    <xf numFmtId="0" fontId="3" fillId="0" borderId="0" applyAlignment="1" pivotButton="0" quotePrefix="0" xfId="0">
      <alignment horizontal="right" vertical="center"/>
    </xf>
    <xf numFmtId="164" fontId="3" fillId="2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5" fontId="3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6" fillId="5" borderId="2" pivotButton="0" quotePrefix="0" xfId="0"/>
    <xf numFmtId="165" fontId="8" fillId="6" borderId="3" applyAlignment="1" pivotButton="0" quotePrefix="0" xfId="0">
      <alignment horizontal="right" vertical="center"/>
    </xf>
    <xf numFmtId="166" fontId="8" fillId="6" borderId="3" applyAlignment="1" pivotButton="0" quotePrefix="0" xfId="0">
      <alignment horizontal="right" vertical="center"/>
    </xf>
    <xf numFmtId="0" fontId="3" fillId="6" borderId="3" pivotButton="0" quotePrefix="0" xfId="0"/>
    <xf numFmtId="165" fontId="8" fillId="2" borderId="3" applyAlignment="1" pivotButton="0" quotePrefix="0" xfId="0">
      <alignment horizontal="right" vertical="center"/>
    </xf>
    <xf numFmtId="166" fontId="8" fillId="2" borderId="3" applyAlignment="1" pivotButton="0" quotePrefix="0" xfId="0">
      <alignment horizontal="right" vertical="center"/>
    </xf>
    <xf numFmtId="0" fontId="3" fillId="2" borderId="3" pivotButton="0" quotePrefix="0" xfId="0"/>
    <xf numFmtId="0" fontId="9" fillId="0" borderId="0" pivotButton="0" quotePrefix="0" xfId="1"/>
    <xf numFmtId="0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166" fontId="3" fillId="0" borderId="1" applyAlignment="1" pivotButton="0" quotePrefix="0" xfId="0">
      <alignment horizontal="right" vertical="center"/>
    </xf>
    <xf numFmtId="0" fontId="0" fillId="0" borderId="1" pivotButton="0" quotePrefix="0" xfId="0"/>
    <xf numFmtId="0" fontId="7" fillId="0" borderId="1" applyAlignment="1" pivotButton="0" quotePrefix="0" xfId="0">
      <alignment horizontal="left" vertical="center" wrapText="1"/>
    </xf>
    <xf numFmtId="0" fontId="1" fillId="0" borderId="0" pivotButton="0" quotePrefix="0" xfId="0"/>
    <xf numFmtId="0" fontId="0" fillId="0" borderId="0" pivotButton="0" quotePrefix="0" xfId="0"/>
    <xf numFmtId="0" fontId="5" fillId="4" borderId="1" pivotButton="0" quotePrefix="0" xfId="0"/>
    <xf numFmtId="0" fontId="2" fillId="0" borderId="0" pivotButton="0" quotePrefix="0" xfId="0"/>
    <xf numFmtId="166" fontId="8" fillId="2" borderId="3" applyAlignment="1" pivotButton="0" quotePrefix="0" xfId="0">
      <alignment horizontal="right" vertical="center"/>
    </xf>
    <xf numFmtId="0" fontId="0" fillId="0" borderId="3" pivotButton="0" quotePrefix="0" xfId="0"/>
    <xf numFmtId="0" fontId="8" fillId="0" borderId="3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 wrapText="1"/>
    </xf>
    <xf numFmtId="0" fontId="4" fillId="7" borderId="1" pivotButton="0" quotePrefix="0" xfId="0"/>
    <xf numFmtId="0" fontId="8" fillId="2" borderId="3" applyAlignment="1" pivotButton="0" quotePrefix="0" xfId="0">
      <alignment horizontal="right" vertical="center"/>
    </xf>
    <xf numFmtId="0" fontId="0" fillId="2" borderId="3" pivotButton="0" quotePrefix="0" xfId="0"/>
    <xf numFmtId="0" fontId="8" fillId="6" borderId="3" applyAlignment="1" pivotButton="0" quotePrefix="0" xfId="0">
      <alignment horizontal="right" vertical="center"/>
    </xf>
    <xf numFmtId="0" fontId="0" fillId="6" borderId="3" pivotButton="0" quotePrefix="0" xfId="0"/>
    <xf numFmtId="0" fontId="0" fillId="0" borderId="11" pivotButton="0" quotePrefix="0" xfId="0"/>
    <xf numFmtId="0" fontId="0" fillId="0" borderId="1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6" pivotButton="0" quotePrefix="0" xfId="0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10</col>
      <colOff>0</colOff>
      <row>9</row>
      <rowOff>0</rowOff>
    </from>
    <to>
      <col>17</col>
      <colOff>579540</colOff>
      <row>25</row>
      <rowOff>113416</rowOff>
    </to>
    <pic>
      <nvPicPr>
        <cNvPr id="3" name="Picture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6163365" y="2510118"/>
          <a:ext cx="4846740" cy="530398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8"/>
  <sheetViews>
    <sheetView tabSelected="1" zoomScaleNormal="100" workbookViewId="0">
      <selection activeCell="A1" sqref="A1:H1"/>
    </sheetView>
  </sheetViews>
  <sheetFormatPr baseColWidth="8" defaultRowHeight="14.4"/>
  <cols>
    <col width="8" customWidth="1" style="24" min="1" max="1"/>
    <col width="30" customWidth="1" style="24" min="2" max="2"/>
    <col width="28" customWidth="1" style="24" min="3" max="3"/>
    <col width="46" customWidth="1" style="24" min="4" max="4"/>
    <col width="14" customWidth="1" style="24" min="5" max="5"/>
    <col width="16" customWidth="1" style="24" min="6" max="6"/>
    <col width="22" customWidth="1" style="24" min="7" max="7"/>
    <col width="54" customWidth="1" style="24" min="8" max="8"/>
  </cols>
  <sheetData>
    <row r="1" ht="23.4" customHeight="1" s="24">
      <c r="A1" s="23" t="inlineStr">
        <is>
          <t>BẢNG DỰ TOÁN CHI PHÍ DEPLOY DỰ ÁN NGUYỆT NHAN PHỐ HIẾN</t>
        </is>
      </c>
    </row>
    <row r="2" ht="15" customHeight="1" s="24">
      <c r="A2" s="26" t="inlineStr">
        <is>
          <t>Kiến trúc Production: Vercel Pro + Railway Pro (.NET 9) + Azure SQL / Managed PostgreSQL + GCS Cloud Storage + Domain nguyetnhanphohien.com</t>
        </is>
      </c>
    </row>
    <row r="3" ht="15" customHeight="1" s="24">
      <c r="F3" s="1" t="inlineStr">
        <is>
          <t>Tỷ giá USD/VND:</t>
        </is>
      </c>
      <c r="G3" s="2" t="n">
        <v>25500</v>
      </c>
    </row>
    <row r="5" ht="28.05" customHeight="1" s="24">
      <c r="A5" s="30" t="inlineStr">
        <is>
          <t>STT</t>
        </is>
      </c>
      <c r="B5" s="30" t="inlineStr">
        <is>
          <t>Thành Phần Hệ Thống</t>
        </is>
      </c>
      <c r="C5" s="30" t="inlineStr">
        <is>
          <t>Nền Tảng / Dịch Vụ</t>
        </is>
      </c>
      <c r="D5" s="30" t="inlineStr">
        <is>
          <t>Gói Dịch Vụ / Cấu Hình</t>
        </is>
      </c>
      <c r="E5" s="30" t="inlineStr">
        <is>
          <t>Chu Kỳ</t>
        </is>
      </c>
      <c r="F5" s="30" t="inlineStr">
        <is>
          <t>Chi Phí (USD)</t>
        </is>
      </c>
      <c r="G5" s="30" t="inlineStr">
        <is>
          <t>Thành Tiền (VNĐ)</t>
        </is>
      </c>
      <c r="H5" s="30" t="inlineStr">
        <is>
          <t>Ghi Chú Kỹ Thuật Cho Dự Án</t>
        </is>
      </c>
    </row>
    <row r="6" ht="24" customHeight="1" s="24">
      <c r="A6" s="25" t="inlineStr">
        <is>
          <t>I. CHI PHÍ TÊN MIỀN &amp; BẢO MẬT (CỐ ĐỊNH HÀNG NĂM)</t>
        </is>
      </c>
      <c r="B6" s="36" t="n"/>
      <c r="C6" s="36" t="n"/>
      <c r="D6" s="36" t="n"/>
      <c r="E6" s="36" t="n"/>
      <c r="F6" s="36" t="n"/>
      <c r="G6" s="36" t="n"/>
      <c r="H6" s="37" t="n"/>
    </row>
    <row r="7" ht="28.05" customHeight="1" s="24">
      <c r="A7" s="4" t="n">
        <v>1</v>
      </c>
      <c r="B7" s="22" t="inlineStr">
        <is>
          <t>Tên miền (Domain)</t>
        </is>
      </c>
      <c r="C7" s="22" t="inlineStr">
        <is>
          <t>Nhà đăng ký tên miền</t>
        </is>
      </c>
      <c r="D7" s="22" t="inlineStr">
        <is>
          <t>nguyetnhanphohien.com (Tên miền thương hiệu chính thức)</t>
        </is>
      </c>
      <c r="E7" s="4" t="inlineStr">
        <is>
          <t>Năm</t>
        </is>
      </c>
      <c r="F7" s="6">
        <f>G7/$G$3</f>
        <v/>
      </c>
      <c r="G7" s="20" t="n">
        <v>248000</v>
      </c>
      <c r="H7" s="22" t="inlineStr">
        <is>
          <t>Đơn giá 248.000 ₫/năm như anh đã chọn. Đóng 1 lần duy nhất mỗi năm.</t>
        </is>
      </c>
    </row>
    <row r="8" ht="28.05" customHeight="1" s="24">
      <c r="A8" s="4" t="n">
        <v>2</v>
      </c>
      <c r="B8" s="22" t="inlineStr">
        <is>
          <t>Chứng chỉ bảo mật HTTPS (SSL)</t>
        </is>
      </c>
      <c r="C8" s="22" t="inlineStr">
        <is>
          <t>Vercel &amp; Railway Auto SSL</t>
        </is>
      </c>
      <c r="D8" s="22" t="inlineStr">
        <is>
          <t>Let's Encrypt / Cloudflare SSL tự động gia hạn</t>
        </is>
      </c>
      <c r="E8" s="4" t="inlineStr">
        <is>
          <t>Vĩnh viễn</t>
        </is>
      </c>
      <c r="F8" s="6" t="n">
        <v>0</v>
      </c>
      <c r="G8" s="20" t="n">
        <v>0</v>
      </c>
      <c r="H8" s="22" t="inlineStr">
        <is>
          <t>Cả Vercel và Railway đều tự động kích hoạt và gia hạn SSL MIỄN PHÍ vĩnh viễn khi trỏ domain.</t>
        </is>
      </c>
      <c r="K8" s="17" t="n"/>
    </row>
    <row r="9" ht="24" customHeight="1" s="24">
      <c r="A9" s="18" t="inlineStr">
        <is>
          <t>TỔNG CHI PHÍ CỐ ĐỊNH HÀNG NĂM (I):</t>
        </is>
      </c>
      <c r="B9" s="38" t="n"/>
      <c r="C9" s="38" t="n"/>
      <c r="D9" s="38" t="n"/>
      <c r="E9" s="39" t="n"/>
      <c r="F9" s="8">
        <f>SUM(F7:F8)</f>
        <v/>
      </c>
      <c r="G9" s="9">
        <f>SUM(G7:G8)</f>
        <v/>
      </c>
      <c r="H9" s="10" t="inlineStr">
        <is>
          <t>Chi phí tên miền trả 1 lần / năm (248.000 ₫)</t>
        </is>
      </c>
      <c r="K9" s="17" t="n"/>
    </row>
    <row r="10" ht="24" customHeight="1" s="24">
      <c r="A10" s="25" t="inlineStr">
        <is>
          <t>II. CHI PHÍ HẠ TẦNG VẬN HÀNH HÀNG THÁNG (MONTHLY RUNNING COST)</t>
        </is>
      </c>
      <c r="B10" s="36" t="n"/>
      <c r="C10" s="36" t="n"/>
      <c r="D10" s="36" t="n"/>
      <c r="E10" s="36" t="n"/>
      <c r="F10" s="36" t="n"/>
      <c r="G10" s="36" t="n"/>
      <c r="H10" s="37" t="n"/>
    </row>
    <row r="11" ht="28.05" customHeight="1" s="24">
      <c r="A11" s="4" t="n">
        <v>3</v>
      </c>
      <c r="B11" s="22" t="inlineStr">
        <is>
          <t>Frontend (React / Vite)</t>
        </is>
      </c>
      <c r="C11" s="22" t="inlineStr">
        <is>
          <t>Vercel</t>
        </is>
      </c>
      <c r="D11" s="22" t="inlineStr">
        <is>
          <t>Pro Plan (1TB Bandwidth, Edge CDN toàn cầu, Analytics &amp; DDoS Protection)</t>
        </is>
      </c>
      <c r="E11" s="4" t="inlineStr">
        <is>
          <t>Tháng</t>
        </is>
      </c>
      <c r="F11" s="6">
        <f>G11/$G$3</f>
        <v/>
      </c>
      <c r="G11" s="20" t="n">
        <v>500000</v>
      </c>
      <c r="H11" s="22" t="inlineStr">
        <is>
          <t>Gói Vercel Pro mở rộng 1TB băng thông, tối ưu CDN toàn cầu, tăng tốc tải trang và chống DDoS bảo đảm trải nghiệm 60fps mượt mà.</t>
        </is>
      </c>
    </row>
    <row r="12" ht="28.05" customHeight="1" s="24">
      <c r="A12" s="4" t="n">
        <v>4</v>
      </c>
      <c r="B12" s="22" t="inlineStr">
        <is>
          <t>Backend API (ASP.NET Core 9)</t>
        </is>
      </c>
      <c r="C12" s="22" t="inlineStr">
        <is>
          <t>Railway</t>
        </is>
      </c>
      <c r="D12" s="22" t="inlineStr">
        <is>
          <t>Pro / Production Plan (4 vCPU, 8GB RAM, Dedicated Metrics &amp; High Availability)</t>
        </is>
      </c>
      <c r="E12" s="4" t="inlineStr">
        <is>
          <t>Tháng</t>
        </is>
      </c>
      <c r="F12" s="6">
        <f>G12/$G$3</f>
        <v/>
      </c>
      <c r="G12" s="20" t="n">
        <v>1300000</v>
      </c>
      <c r="H12" s="22" t="inlineStr">
        <is>
          <t>Gói Railway Pro cấu hình cao chuyên nghiệp, tải đồng thời hàng nghìn kết nối SignalR realtime &amp; xử lý đơn hàng tức thì.</t>
        </is>
      </c>
    </row>
    <row r="13" ht="28.05" customHeight="1" s="24">
      <c r="A13" s="4" t="n">
        <v>5</v>
      </c>
      <c r="B13" s="22" t="inlineStr">
        <is>
          <t>Cơ sở dữ liệu (PostgreSQL)</t>
        </is>
      </c>
      <c r="C13" s="22" t="inlineStr">
        <is>
          <t>Azure SQL / Managed PostgreSQL</t>
        </is>
      </c>
      <c r="D13" s="22" t="inlineStr">
        <is>
          <t>Standard Plan (64GB Storage, Daily Backup tự động, High IOPS)</t>
        </is>
      </c>
      <c r="E13" s="4" t="inlineStr">
        <is>
          <t>Tháng</t>
        </is>
      </c>
      <c r="F13" s="6">
        <f>G13/$G$3</f>
        <v/>
      </c>
      <c r="G13" s="20" t="n">
        <v>900000</v>
      </c>
      <c r="H13" s="22" t="inlineStr">
        <is>
          <t>Database doanh nghiệp cấu hình cao, tự động sao lưu hàng ngày, đảm bảo an toàn tuyệt đối cho dữ liệu đơn hàng &amp; CMS.</t>
        </is>
      </c>
    </row>
    <row r="14" ht="28.05" customHeight="1" s="24">
      <c r="A14" s="4" t="n">
        <v>6</v>
      </c>
      <c r="B14" s="22" t="inlineStr">
        <is>
          <t>Lưu trữ hình ảnh tải lên (Media)</t>
        </is>
      </c>
      <c r="C14" s="22" t="inlineStr">
        <is>
          <t>Google Cloud Storage (GCS) &amp; Fast CDN</t>
        </is>
      </c>
      <c r="D14" s="22" t="inlineStr">
        <is>
          <t>Standard Multi-Region Bucket + Image Delivery (100GB+ Media, Edge Caching)</t>
        </is>
      </c>
      <c r="E14" s="4" t="inlineStr">
        <is>
          <t>Tháng</t>
        </is>
      </c>
      <c r="F14" s="6">
        <f>G14/$G$3</f>
        <v/>
      </c>
      <c r="G14" s="20" t="n">
        <v>300000</v>
      </c>
      <c r="H14" s="22" t="inlineStr">
        <is>
          <t>Lưu trữ đám mây đa vùng Google Cloud kết hợp CDN đệm ảnh, bảo đảm toàn bộ ảnh banner/sản phẩm tải tức thì, không bao giờ mất.</t>
        </is>
      </c>
    </row>
    <row r="15" ht="24" customHeight="1" s="24">
      <c r="A15" s="18" t="inlineStr">
        <is>
          <t>TỔNG CHI PHÍ HẠ TẦNG HÀNG THÁNG (II):</t>
        </is>
      </c>
      <c r="B15" s="38" t="n"/>
      <c r="C15" s="38" t="n"/>
      <c r="D15" s="38" t="n"/>
      <c r="E15" s="39" t="n"/>
      <c r="F15" s="8">
        <f>SUM(F11:F14)</f>
        <v/>
      </c>
      <c r="G15" s="9">
        <f>SUM(G11:G14)</f>
        <v/>
      </c>
      <c r="H15" s="10" t="inlineStr">
        <is>
          <t>Tổng chi phí hạ tầng điện toán đám mây cấp Production (Vercel Pro + Railway Pro + Managed DB + GCS)</t>
        </is>
      </c>
    </row>
    <row r="16" ht="24" customHeight="1" s="24">
      <c r="A16" s="25" t="inlineStr">
        <is>
          <t>III. DỊCH VỤ EMAIL &amp; THÔNG BÁO (TRANSACTIONAL SERVICES)</t>
        </is>
      </c>
      <c r="B16" s="36" t="n"/>
      <c r="C16" s="36" t="n"/>
      <c r="D16" s="36" t="n"/>
      <c r="E16" s="36" t="n"/>
      <c r="F16" s="36" t="n"/>
      <c r="G16" s="36" t="n"/>
      <c r="H16" s="37" t="n"/>
    </row>
    <row r="17" ht="28.05" customHeight="1" s="24">
      <c r="A17" s="4" t="n">
        <v>7</v>
      </c>
      <c r="B17" s="22" t="inlineStr">
        <is>
          <t>Email thông báo đơn hàng (VietQR)</t>
        </is>
      </c>
      <c r="C17" s="22" t="inlineStr">
        <is>
          <t>Gmail SMTP / Brevo / Resend</t>
        </is>
      </c>
      <c r="D17" s="22" t="inlineStr">
        <is>
          <t>Gửi email xác nhận đơn và mã QR VietQR (tích hợp qua MailKit)</t>
        </is>
      </c>
      <c r="E17" s="4" t="inlineStr">
        <is>
          <t>Tháng</t>
        </is>
      </c>
      <c r="F17" s="6" t="n">
        <v>0</v>
      </c>
      <c r="G17" s="20" t="n">
        <v>0</v>
      </c>
      <c r="H17" s="22" t="inlineStr">
        <is>
          <t>Dùng App Password của Gmail (miễn phí 500 email/ngày) hoặc Brevo (miễn phí 300 email/ngày).</t>
        </is>
      </c>
    </row>
    <row r="18" ht="24" customHeight="1" s="24">
      <c r="A18" s="18" t="inlineStr">
        <is>
          <t>TỔNG DỊCH VỤ EMAIL HÀNG THÁNG (III):</t>
        </is>
      </c>
      <c r="B18" s="38" t="n"/>
      <c r="C18" s="38" t="n"/>
      <c r="D18" s="38" t="n"/>
      <c r="E18" s="39" t="n"/>
      <c r="F18" s="8">
        <f>F17</f>
        <v/>
      </c>
      <c r="G18" s="9">
        <f>G17</f>
        <v/>
      </c>
      <c r="H18" s="10" t="inlineStr">
        <is>
          <t>Miễn phí qua Gmail App Password hoặc Brevo</t>
        </is>
      </c>
    </row>
    <row r="19" ht="30" customHeight="1" s="24">
      <c r="A19" s="34" t="inlineStr">
        <is>
          <t>★ TỔNG CHI PHÍ HÀNG THÁNG (II + III):</t>
        </is>
      </c>
      <c r="B19" s="40" t="n"/>
      <c r="C19" s="40" t="n"/>
      <c r="D19" s="40" t="n"/>
      <c r="E19" s="41" t="n"/>
      <c r="F19" s="11">
        <f>F15+F18</f>
        <v/>
      </c>
      <c r="G19" s="12">
        <f>G15+G18</f>
        <v/>
      </c>
      <c r="H19" s="13" t="n"/>
    </row>
    <row r="20" ht="30" customHeight="1" s="24">
      <c r="A20" s="32" t="n"/>
      <c r="B20" s="40" t="n"/>
      <c r="C20" s="40" t="n"/>
      <c r="D20" s="40" t="n"/>
      <c r="E20" s="41" t="n"/>
      <c r="F20" s="14" t="n"/>
      <c r="G20" s="27" t="n"/>
      <c r="H20" s="16" t="n"/>
    </row>
    <row r="21" ht="25.95" customHeight="1" s="24">
      <c r="A21" s="18" t="n"/>
      <c r="B21" s="38" t="n"/>
      <c r="C21" s="38" t="n"/>
      <c r="D21" s="38" t="n"/>
      <c r="E21" s="39" t="n"/>
      <c r="F21" s="8" t="n"/>
      <c r="G21" s="9" t="n"/>
      <c r="H21" s="10" t="n"/>
    </row>
    <row r="23" ht="24" customHeight="1" s="24">
      <c r="A23" s="31" t="inlineStr">
        <is>
          <t>IV. BẢNG DÒNG TIỀN CHI TRẢ THEO TỪNG THÁNG TRONG NĂM ĐẦU TIÊN (VNĐ)</t>
        </is>
      </c>
      <c r="B23" s="36" t="n"/>
      <c r="C23" s="36" t="n"/>
      <c r="D23" s="36" t="n"/>
      <c r="E23" s="36" t="n"/>
      <c r="F23" s="36" t="n"/>
      <c r="G23" s="36" t="n"/>
      <c r="H23" s="37" t="n"/>
    </row>
    <row r="24" ht="25.95" customHeight="1" s="24">
      <c r="A24" s="30" t="inlineStr">
        <is>
          <t>Khoản Chi</t>
        </is>
      </c>
      <c r="B24" s="36" t="n"/>
      <c r="C24" s="37" t="n"/>
      <c r="D24" s="30" t="inlineStr">
        <is>
          <t>Tháng 1 (Khởi Tạo)</t>
        </is>
      </c>
      <c r="E24" s="30" t="n"/>
      <c r="F24" s="30" t="n"/>
      <c r="G24" s="30" t="n"/>
      <c r="H24" s="37" t="n"/>
    </row>
    <row r="25" ht="24" customHeight="1" s="24">
      <c r="A25" s="22" t="inlineStr">
        <is>
          <t>Tên miền (nguyetnhanphohien.com)</t>
        </is>
      </c>
      <c r="B25" s="36" t="n"/>
      <c r="C25" s="37" t="n"/>
      <c r="D25" s="20" t="n">
        <v>248000</v>
      </c>
      <c r="E25" s="20" t="n"/>
      <c r="F25" s="20" t="n"/>
      <c r="G25" s="20" t="n"/>
      <c r="H25" s="37" t="n"/>
    </row>
    <row r="26" ht="24" customHeight="1" s="24">
      <c r="A26" s="22" t="inlineStr">
        <is>
          <t>Hạ tầng vận hành hàng tháng (Production Stack)</t>
        </is>
      </c>
      <c r="B26" s="36" t="n"/>
      <c r="C26" s="37" t="n"/>
      <c r="D26" s="20">
        <f>G19</f>
        <v/>
      </c>
      <c r="E26" s="20" t="n"/>
      <c r="F26" s="20" t="n"/>
      <c r="G26" s="20" t="n"/>
      <c r="H26" s="37" t="n"/>
    </row>
    <row r="27" ht="24" customHeight="1" s="24">
      <c r="A27" s="22" t="inlineStr">
        <is>
          <t>Bảo mật SSL + Vercel + Supabase + Email</t>
        </is>
      </c>
      <c r="B27" s="36" t="n"/>
      <c r="C27" s="37" t="n"/>
      <c r="D27" s="20" t="n">
        <v>0</v>
      </c>
      <c r="E27" s="20" t="n"/>
      <c r="F27" s="20" t="n"/>
      <c r="G27" s="20" t="n"/>
      <c r="H27" s="37" t="n"/>
    </row>
    <row r="28" ht="28.05" customHeight="1" s="24">
      <c r="A28" s="29" t="inlineStr">
        <is>
          <t>TỔNG TIỀN PHẢI TRẢ (VNĐ):</t>
        </is>
      </c>
      <c r="B28" s="40" t="n"/>
      <c r="C28" s="41" t="n"/>
      <c r="D28" s="27">
        <f>SUM(D25:D27)</f>
        <v/>
      </c>
      <c r="E28" s="12" t="n"/>
      <c r="F28" s="12" t="n"/>
      <c r="G28" s="27" t="n"/>
      <c r="H28" s="41" t="n"/>
    </row>
  </sheetData>
  <mergeCells count="22">
    <mergeCell ref="A25:C25"/>
    <mergeCell ref="A15:E15"/>
    <mergeCell ref="G27:H27"/>
    <mergeCell ref="A27:C27"/>
    <mergeCell ref="A1:H1"/>
    <mergeCell ref="A26:C26"/>
    <mergeCell ref="A6:H6"/>
    <mergeCell ref="A16:H16"/>
    <mergeCell ref="G28:H28"/>
    <mergeCell ref="A18:E18"/>
    <mergeCell ref="A21:E21"/>
    <mergeCell ref="A28:C28"/>
    <mergeCell ref="G24:H24"/>
    <mergeCell ref="A2:H2"/>
    <mergeCell ref="A23:H23"/>
    <mergeCell ref="G26:H26"/>
    <mergeCell ref="A24:C24"/>
    <mergeCell ref="A20:E20"/>
    <mergeCell ref="G25:H25"/>
    <mergeCell ref="A19:E19"/>
    <mergeCell ref="A10:H10"/>
    <mergeCell ref="A9:E9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2026-10-14T15:45:42Z</dcterms:created>
  <dcterms:modified xmlns:dcterms="http://purl.org/dc/terms/" xmlns:xsi="http://www.w3.org/2001/XMLSchema-instance" xsi:type="dcterms:W3CDTF">2026-10-15T05:28:25Z</dcterms:modified>
  <cp:lastModifiedBy>Do nho Tung</cp:lastModifiedBy>
</cp:coreProperties>
</file>