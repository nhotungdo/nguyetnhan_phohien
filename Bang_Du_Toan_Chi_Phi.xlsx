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F:\OJT-Review\nguyetnhan_phohien\"/>
    </mc:Choice>
  </mc:AlternateContent>
  <xr:revisionPtr revIDLastSave="0" documentId="13_ncr:1_{7A6A33E4-B50F-4E38-9D43-FDB4B7D1068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ự Toán Stack Đã Chọn" sheetId="1" r:id="rId1"/>
  </sheets>
  <calcPr calcId="181029"/>
</workbook>
</file>

<file path=xl/calcChain.xml><?xml version="1.0" encoding="utf-8"?>
<calcChain xmlns="http://schemas.openxmlformats.org/spreadsheetml/2006/main">
  <c r="G18" i="1" l="1"/>
  <c r="F18" i="1"/>
  <c r="F15" i="1"/>
  <c r="F19" i="1" s="1"/>
  <c r="G14" i="1"/>
  <c r="G12" i="1"/>
  <c r="G9" i="1"/>
  <c r="F7" i="1"/>
  <c r="F9" i="1" s="1"/>
  <c r="G15" i="1" l="1"/>
  <c r="G19" i="1" s="1"/>
  <c r="D26" i="1" l="1"/>
  <c r="D28" i="1" s="1"/>
</calcChain>
</file>

<file path=xl/sharedStrings.xml><?xml version="1.0" encoding="utf-8"?>
<sst xmlns="http://schemas.openxmlformats.org/spreadsheetml/2006/main" count="63" uniqueCount="59">
  <si>
    <t>BẢNG DỰ TOÁN CHI PHÍ DEPLOY DỰ ÁN NGUYỆT NHAN PHỐ HIẾN</t>
  </si>
  <si>
    <t>Kiến trúc: Vercel (Frontend) + Railway (Backend .NET 9) + Supabase (PostgreSQL) + GCS (Ảnh) + Domain nguyetnhanphohien.com</t>
  </si>
  <si>
    <t>Tỷ giá USD/VND:</t>
  </si>
  <si>
    <t>STT</t>
  </si>
  <si>
    <t>Thành Phần Hệ Thống</t>
  </si>
  <si>
    <t>Nền Tảng / Dịch Vụ</t>
  </si>
  <si>
    <t>Gói Dịch Vụ / Cấu Hình</t>
  </si>
  <si>
    <t>Chu Kỳ</t>
  </si>
  <si>
    <t>Chi Phí (USD)</t>
  </si>
  <si>
    <t>Thành Tiền (VNĐ)</t>
  </si>
  <si>
    <t>Ghi Chú Kỹ Thuật Cho Dự Án</t>
  </si>
  <si>
    <t>I. CHI PHÍ TÊN MIỀN &amp; BẢO MẬT (CỐ ĐỊNH HÀNG NĂM)</t>
  </si>
  <si>
    <t>Tên miền (Domain)</t>
  </si>
  <si>
    <t>Nhà đăng ký tên miền</t>
  </si>
  <si>
    <t>nguyetnhanphohien.com (Tên miền thương hiệu chính thức)</t>
  </si>
  <si>
    <t>Năm</t>
  </si>
  <si>
    <t>Đơn giá 248.000 ₫/năm như anh đã chọn. Đóng 1 lần duy nhất mỗi năm.</t>
  </si>
  <si>
    <t>Chứng chỉ bảo mật HTTPS (SSL)</t>
  </si>
  <si>
    <t>Vercel &amp; Railway Auto SSL</t>
  </si>
  <si>
    <t>Let's Encrypt / Cloudflare SSL tự động gia hạn</t>
  </si>
  <si>
    <t>Vĩnh viễn</t>
  </si>
  <si>
    <t>Cả Vercel và Railway đều tự động kích hoạt và gia hạn SSL MIỄN PHÍ vĩnh viễn khi trỏ domain.</t>
  </si>
  <si>
    <t>TỔNG CHI PHÍ CỐ ĐỊNH HÀNG NĂM (I):</t>
  </si>
  <si>
    <t>Chi phí tên miền trả 1 lần / năm (248.000 ₫)</t>
  </si>
  <si>
    <t>II. CHI PHÍ HẠ TẦNG VẬN HÀNH HÀNG THÁNG (MONTHLY RUNNING COST)</t>
  </si>
  <si>
    <t>Frontend (React / Vite)</t>
  </si>
  <si>
    <t>Vercel</t>
  </si>
  <si>
    <t>Hobby Plan (100GB Bandwidth, Unlimited Deployments, Edge CDN)</t>
  </si>
  <si>
    <t>Tháng</t>
  </si>
  <si>
    <t>Miễn phí 100% cho dự án. Tốc độ tải trang cực nhanh toàn cầu nhờ Vercel Edge Network.</t>
  </si>
  <si>
    <t>Backend API (ASP.NET Core 9)</t>
  </si>
  <si>
    <t>Railway</t>
  </si>
  <si>
    <t>Hobby Plan ($5 Platform Fee + tài nguyên vCPU &amp; RAM thực tế)</t>
  </si>
  <si>
    <t>Gói cơ bản của Railway là $5/tháng (đã bao gồm $5 credit đo lường RAM/CPU). .NET 9 API chạy ổn định mượt mà.</t>
  </si>
  <si>
    <t>Cơ sở dữ liệu (PostgreSQL)</t>
  </si>
  <si>
    <t>Miễn phí 500MB DB (lưu được hàng chục nghìn đơn hàng &amp; sản phẩm). Có giao diện quản lý bảng trực quan.</t>
  </si>
  <si>
    <t>Lưu trữ hình ảnh tải lên (Media)</t>
  </si>
  <si>
    <t>Google Cloud Storage (GCS)</t>
  </si>
  <si>
    <t>Standard Storage Bucket (Dung lượng ảnh sản phẩm ~10GB - 20GB)</t>
  </si>
  <si>
    <t>GCS giá $0.023/GB/tháng. Chỉ tốn khoảng 12.750 ₫/tháng để bảo vệ ảnh an toàn tuyệt đối.</t>
  </si>
  <si>
    <t>TỔNG CHI PHÍ HẠ TẦNG HÀNG THÁNG (II):</t>
  </si>
  <si>
    <t>Chỉ tốn phí Railway (~$5.00) + GCS (~$0.50)</t>
  </si>
  <si>
    <t>III. DỊCH VỤ EMAIL &amp; THÔNG BÁO (TRANSACTIONAL SERVICES)</t>
  </si>
  <si>
    <t>Email thông báo đơn hàng (VietQR)</t>
  </si>
  <si>
    <t>Gmail SMTP / Brevo / Resend</t>
  </si>
  <si>
    <t>Gửi email xác nhận đơn và mã QR VietQR (tích hợp qua MailKit)</t>
  </si>
  <si>
    <t>Dùng App Password của Gmail (miễn phí 500 email/ngày) hoặc Brevo (miễn phí 300 email/ngày).</t>
  </si>
  <si>
    <t>TỔNG DỊCH VỤ EMAIL HÀNG THÁNG (III):</t>
  </si>
  <si>
    <t>Miễn phí qua Gmail App Password hoặc Brevo</t>
  </si>
  <si>
    <t>IV. BẢNG DÒNG TIỀN CHI TRẢ THEO TỪNG THÁNG TRONG NĂM ĐẦU TIÊN (VNĐ)</t>
  </si>
  <si>
    <t>Khoản Chi</t>
  </si>
  <si>
    <t>Tháng 1 (Khởi Tạo)</t>
  </si>
  <si>
    <t>Tên miền (nguyetnhanphohien.com)</t>
  </si>
  <si>
    <t>Bảo mật SSL + Vercel + Supabase + Email</t>
  </si>
  <si>
    <t>TỔNG TIỀN PHẢI TRẢ (VNĐ):</t>
  </si>
  <si>
    <t>★ TỔNG CHI PHÍ</t>
  </si>
  <si>
    <t>Hạ tầng (Railway $5 + GCS $5)</t>
  </si>
  <si>
    <t>Plan (32G Database, 5GB Egress, Shared CPU)</t>
  </si>
  <si>
    <t>Azure SQL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</si>
</sst>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\ &quot;VND&quot;"/>
    <numFmt numFmtId="165" formatCode="\$#,##0.00"/>
    <numFmt numFmtId="166" formatCode="#,##0\ &quot;₫&quot;"/>
  </numFmts>
  <fonts count="10" x14ac:knownFonts="1">
    <font>
      <sz val="11"/>
      <color theme="1"/>
      <name val="Calibri"/>
      <family val="2"/>
      <scheme val="minor"/>
    </font>
    <font>
      <b/>
      <sz val="15"/>
      <color rgb="FF0F172A"/>
      <name val="Segoe UI"/>
    </font>
    <font>
      <i/>
      <sz val="10"/>
      <color rgb="FF64748B"/>
      <name val="Segoe UI"/>
    </font>
    <font>
      <b/>
      <sz val="10"/>
      <color rgb="FF0F172A"/>
      <name val="Segoe UI"/>
    </font>
    <font>
      <b/>
      <sz val="10"/>
      <color rgb="FFFFFFFF"/>
      <name val="Segoe UI"/>
    </font>
    <font>
      <b/>
      <sz val="11"/>
      <color rgb="FF1E293B"/>
      <name val="Segoe UI"/>
    </font>
    <font>
      <sz val="9"/>
      <color rgb="FF64748B"/>
      <name val="Segoe UI"/>
    </font>
    <font>
      <sz val="10"/>
      <color rgb="FF1E293B"/>
      <name val="Segoe UI"/>
    </font>
    <font>
      <b/>
      <sz val="11"/>
      <color rgb="FF047857"/>
      <name val="Segoe UI"/>
    </font>
    <font>
      <u/>
      <sz val="11"/>
      <color theme="1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EF3C7"/>
        <bgColor rgb="FFFEF3C7"/>
      </patternFill>
    </fill>
    <fill>
      <patternFill patternType="solid">
        <fgColor rgb="FF1E293B"/>
        <bgColor rgb="FF1E293B"/>
      </patternFill>
    </fill>
    <fill>
      <patternFill patternType="solid">
        <fgColor rgb="FFF1F5F9"/>
        <bgColor rgb="FFF1F5F9"/>
      </patternFill>
    </fill>
    <fill>
      <patternFill patternType="solid">
        <fgColor rgb="FFF8FAFC"/>
        <bgColor rgb="FFF8FAFC"/>
      </patternFill>
    </fill>
    <fill>
      <patternFill patternType="solid">
        <fgColor rgb="FFD1FAE5"/>
        <bgColor rgb="FFD1FAE5"/>
      </patternFill>
    </fill>
    <fill>
      <patternFill patternType="solid">
        <fgColor rgb="FF1D4ED8"/>
        <bgColor rgb="FF1D4ED8"/>
      </patternFill>
    </fill>
  </fills>
  <borders count="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rgb="FF1E293B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double">
        <color rgb="FF047857"/>
      </bottom>
      <diagonal/>
    </border>
  </borders>
  <cellStyleXfs count="2">
    <xf numFmtId="0" fontId="0" fillId="0" borderId="0"/>
    <xf numFmtId="0" fontId="9" fillId="0" borderId="0" applyNumberFormat="0" applyFill="0" applyBorder="0" applyAlignment="0" applyProtection="0"/>
  </cellStyleXfs>
  <cellXfs count="36">
    <xf numFmtId="0" fontId="0" fillId="0" borderId="0" xfId="0"/>
    <xf numFmtId="0" fontId="3" fillId="0" borderId="0" xfId="0" applyFont="1" applyAlignment="1">
      <alignment horizontal="right" vertical="center"/>
    </xf>
    <xf numFmtId="164" fontId="3" fillId="2" borderId="1" xfId="0" applyNumberFormat="1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165" fontId="3" fillId="0" borderId="1" xfId="0" applyNumberFormat="1" applyFont="1" applyBorder="1" applyAlignment="1">
      <alignment horizontal="right" vertical="center"/>
    </xf>
    <xf numFmtId="166" fontId="3" fillId="0" borderId="1" xfId="0" applyNumberFormat="1" applyFont="1" applyBorder="1" applyAlignment="1">
      <alignment horizontal="right" vertical="center"/>
    </xf>
    <xf numFmtId="165" fontId="3" fillId="5" borderId="2" xfId="0" applyNumberFormat="1" applyFont="1" applyFill="1" applyBorder="1" applyAlignment="1">
      <alignment horizontal="right" vertical="center"/>
    </xf>
    <xf numFmtId="166" fontId="3" fillId="5" borderId="2" xfId="0" applyNumberFormat="1" applyFont="1" applyFill="1" applyBorder="1" applyAlignment="1">
      <alignment horizontal="right" vertical="center"/>
    </xf>
    <xf numFmtId="0" fontId="6" fillId="5" borderId="2" xfId="0" applyFont="1" applyFill="1" applyBorder="1"/>
    <xf numFmtId="165" fontId="8" fillId="6" borderId="3" xfId="0" applyNumberFormat="1" applyFont="1" applyFill="1" applyBorder="1" applyAlignment="1">
      <alignment horizontal="right" vertical="center"/>
    </xf>
    <xf numFmtId="166" fontId="8" fillId="6" borderId="3" xfId="0" applyNumberFormat="1" applyFont="1" applyFill="1" applyBorder="1" applyAlignment="1">
      <alignment horizontal="right" vertical="center"/>
    </xf>
    <xf numFmtId="0" fontId="3" fillId="6" borderId="3" xfId="0" applyFont="1" applyFill="1" applyBorder="1"/>
    <xf numFmtId="165" fontId="8" fillId="2" borderId="3" xfId="0" applyNumberFormat="1" applyFont="1" applyFill="1" applyBorder="1" applyAlignment="1">
      <alignment horizontal="right" vertical="center"/>
    </xf>
    <xf numFmtId="166" fontId="8" fillId="2" borderId="3" xfId="0" applyNumberFormat="1" applyFont="1" applyFill="1" applyBorder="1" applyAlignment="1">
      <alignment horizontal="right" vertical="center"/>
    </xf>
    <xf numFmtId="0" fontId="3" fillId="2" borderId="3" xfId="0" applyFont="1" applyFill="1" applyBorder="1"/>
    <xf numFmtId="0" fontId="9" fillId="0" borderId="0" xfId="1"/>
    <xf numFmtId="0" fontId="3" fillId="5" borderId="2" xfId="0" applyFont="1" applyFill="1" applyBorder="1" applyAlignment="1">
      <alignment horizontal="right" vertical="center"/>
    </xf>
    <xf numFmtId="0" fontId="0" fillId="5" borderId="2" xfId="0" applyFill="1" applyBorder="1"/>
    <xf numFmtId="166" fontId="3" fillId="0" borderId="1" xfId="0" applyNumberFormat="1" applyFont="1" applyBorder="1" applyAlignment="1">
      <alignment horizontal="right" vertical="center"/>
    </xf>
    <xf numFmtId="0" fontId="0" fillId="0" borderId="1" xfId="0" applyBorder="1"/>
    <xf numFmtId="0" fontId="7" fillId="0" borderId="1" xfId="0" applyFont="1" applyBorder="1" applyAlignment="1">
      <alignment horizontal="left" vertical="center" wrapText="1"/>
    </xf>
    <xf numFmtId="0" fontId="1" fillId="0" borderId="0" xfId="0" applyFont="1"/>
    <xf numFmtId="0" fontId="0" fillId="0" borderId="0" xfId="0"/>
    <xf numFmtId="0" fontId="5" fillId="4" borderId="1" xfId="0" applyFont="1" applyFill="1" applyBorder="1"/>
    <xf numFmtId="0" fontId="2" fillId="0" borderId="0" xfId="0" applyFont="1"/>
    <xf numFmtId="166" fontId="8" fillId="2" borderId="3" xfId="0" applyNumberFormat="1" applyFont="1" applyFill="1" applyBorder="1" applyAlignment="1">
      <alignment horizontal="right" vertical="center"/>
    </xf>
    <xf numFmtId="0" fontId="0" fillId="0" borderId="3" xfId="0" applyBorder="1"/>
    <xf numFmtId="0" fontId="8" fillId="0" borderId="3" xfId="0" applyFont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 wrapText="1"/>
    </xf>
    <xf numFmtId="0" fontId="4" fillId="7" borderId="1" xfId="0" applyFont="1" applyFill="1" applyBorder="1"/>
    <xf numFmtId="0" fontId="8" fillId="2" borderId="3" xfId="0" applyFont="1" applyFill="1" applyBorder="1" applyAlignment="1">
      <alignment horizontal="right" vertical="center"/>
    </xf>
    <xf numFmtId="0" fontId="0" fillId="2" borderId="3" xfId="0" applyFill="1" applyBorder="1"/>
    <xf numFmtId="0" fontId="8" fillId="6" borderId="3" xfId="0" applyFont="1" applyFill="1" applyBorder="1" applyAlignment="1">
      <alignment horizontal="right" vertical="center"/>
    </xf>
    <xf numFmtId="0" fontId="0" fillId="6" borderId="3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0</xdr:colOff>
      <xdr:row>9</xdr:row>
      <xdr:rowOff>0</xdr:rowOff>
    </xdr:from>
    <xdr:to>
      <xdr:col>17</xdr:col>
      <xdr:colOff>579540</xdr:colOff>
      <xdr:row>25</xdr:row>
      <xdr:rowOff>113416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FA74005-DE6F-DA96-BD96-8DB8B3388E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163365" y="2510118"/>
          <a:ext cx="4846740" cy="53039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8"/>
  <sheetViews>
    <sheetView tabSelected="1" zoomScaleNormal="100" workbookViewId="0">
      <selection sqref="A1:H1"/>
    </sheetView>
  </sheetViews>
  <sheetFormatPr defaultRowHeight="14.4" x14ac:dyDescent="0.3"/>
  <cols>
    <col min="1" max="1" width="8" customWidth="1"/>
    <col min="2" max="2" width="30" customWidth="1"/>
    <col min="3" max="3" width="28" customWidth="1"/>
    <col min="4" max="4" width="46" customWidth="1"/>
    <col min="5" max="5" width="14" customWidth="1"/>
    <col min="6" max="6" width="16" customWidth="1"/>
    <col min="7" max="7" width="22" customWidth="1"/>
    <col min="8" max="8" width="54" customWidth="1"/>
  </cols>
  <sheetData>
    <row r="1" spans="1:11" ht="23.4" x14ac:dyDescent="0.55000000000000004">
      <c r="A1" s="23" t="s">
        <v>0</v>
      </c>
      <c r="B1" s="24"/>
      <c r="C1" s="24"/>
      <c r="D1" s="24"/>
      <c r="E1" s="24"/>
      <c r="F1" s="24"/>
      <c r="G1" s="24"/>
      <c r="H1" s="24"/>
    </row>
    <row r="2" spans="1:11" ht="15" x14ac:dyDescent="0.35">
      <c r="A2" s="26" t="s">
        <v>1</v>
      </c>
      <c r="B2" s="24"/>
      <c r="C2" s="24"/>
      <c r="D2" s="24"/>
      <c r="E2" s="24"/>
      <c r="F2" s="24"/>
      <c r="G2" s="24"/>
      <c r="H2" s="24"/>
    </row>
    <row r="3" spans="1:11" ht="15" x14ac:dyDescent="0.3">
      <c r="F3" s="1" t="s">
        <v>2</v>
      </c>
      <c r="G3" s="2">
        <v>25500</v>
      </c>
    </row>
    <row r="5" spans="1:11" ht="28.05" customHeight="1" x14ac:dyDescent="0.3">
      <c r="A5" s="3" t="s">
        <v>3</v>
      </c>
      <c r="B5" s="3" t="s">
        <v>4</v>
      </c>
      <c r="C5" s="3" t="s">
        <v>5</v>
      </c>
      <c r="D5" s="3" t="s">
        <v>6</v>
      </c>
      <c r="E5" s="3" t="s">
        <v>7</v>
      </c>
      <c r="F5" s="3" t="s">
        <v>8</v>
      </c>
      <c r="G5" s="3" t="s">
        <v>9</v>
      </c>
      <c r="H5" s="3" t="s">
        <v>10</v>
      </c>
    </row>
    <row r="6" spans="1:11" ht="24" customHeight="1" x14ac:dyDescent="0.4">
      <c r="A6" s="25" t="s">
        <v>11</v>
      </c>
      <c r="B6" s="21"/>
      <c r="C6" s="21"/>
      <c r="D6" s="21"/>
      <c r="E6" s="21"/>
      <c r="F6" s="21"/>
      <c r="G6" s="21"/>
      <c r="H6" s="21"/>
    </row>
    <row r="7" spans="1:11" ht="28.05" customHeight="1" x14ac:dyDescent="0.3">
      <c r="A7" s="4">
        <v>1</v>
      </c>
      <c r="B7" s="5" t="s">
        <v>12</v>
      </c>
      <c r="C7" s="5" t="s">
        <v>13</v>
      </c>
      <c r="D7" s="5" t="s">
        <v>14</v>
      </c>
      <c r="E7" s="4" t="s">
        <v>15</v>
      </c>
      <c r="F7" s="6">
        <f>G7/$G$3</f>
        <v>9.7254901960784306</v>
      </c>
      <c r="G7" s="7">
        <v>248000</v>
      </c>
      <c r="H7" s="5" t="s">
        <v>16</v>
      </c>
    </row>
    <row r="8" spans="1:11" ht="28.05" customHeight="1" x14ac:dyDescent="0.3">
      <c r="A8" s="4">
        <v>2</v>
      </c>
      <c r="B8" s="5" t="s">
        <v>17</v>
      </c>
      <c r="C8" s="5" t="s">
        <v>18</v>
      </c>
      <c r="D8" s="5" t="s">
        <v>19</v>
      </c>
      <c r="E8" s="4" t="s">
        <v>20</v>
      </c>
      <c r="F8" s="6">
        <v>0</v>
      </c>
      <c r="G8" s="7">
        <v>0</v>
      </c>
      <c r="H8" s="5" t="s">
        <v>21</v>
      </c>
      <c r="K8" s="17"/>
    </row>
    <row r="9" spans="1:11" ht="24" customHeight="1" x14ac:dyDescent="0.3">
      <c r="A9" s="18" t="s">
        <v>22</v>
      </c>
      <c r="B9" s="19"/>
      <c r="C9" s="19"/>
      <c r="D9" s="19"/>
      <c r="E9" s="19"/>
      <c r="F9" s="8">
        <f>SUM(F7:F8)</f>
        <v>9.7254901960784306</v>
      </c>
      <c r="G9" s="9">
        <f>SUM(G7:G8)</f>
        <v>248000</v>
      </c>
      <c r="H9" s="10" t="s">
        <v>23</v>
      </c>
      <c r="K9" s="17"/>
    </row>
    <row r="10" spans="1:11" ht="24" customHeight="1" x14ac:dyDescent="0.4">
      <c r="A10" s="25" t="s">
        <v>24</v>
      </c>
      <c r="B10" s="21"/>
      <c r="C10" s="21"/>
      <c r="D10" s="21"/>
      <c r="E10" s="21"/>
      <c r="F10" s="21"/>
      <c r="G10" s="21"/>
      <c r="H10" s="21"/>
    </row>
    <row r="11" spans="1:11" ht="28.05" customHeight="1" x14ac:dyDescent="0.3">
      <c r="A11" s="4">
        <v>3</v>
      </c>
      <c r="B11" s="5" t="s">
        <v>25</v>
      </c>
      <c r="C11" s="5" t="s">
        <v>26</v>
      </c>
      <c r="D11" s="5" t="s">
        <v>27</v>
      </c>
      <c r="E11" s="4" t="s">
        <v>28</v>
      </c>
      <c r="F11" s="6">
        <v>0</v>
      </c>
      <c r="G11" s="7">
        <v>0</v>
      </c>
      <c r="H11" s="5" t="s">
        <v>29</v>
      </c>
    </row>
    <row r="12" spans="1:11" ht="28.05" customHeight="1" x14ac:dyDescent="0.3">
      <c r="A12" s="4">
        <v>4</v>
      </c>
      <c r="B12" s="5" t="s">
        <v>30</v>
      </c>
      <c r="C12" s="5" t="s">
        <v>31</v>
      </c>
      <c r="D12" s="5" t="s">
        <v>32</v>
      </c>
      <c r="E12" s="4" t="s">
        <v>28</v>
      </c>
      <c r="F12" s="6">
        <v>20</v>
      </c>
      <c r="G12" s="7">
        <f>F12*$G$3</f>
        <v>510000</v>
      </c>
      <c r="H12" s="5" t="s">
        <v>33</v>
      </c>
    </row>
    <row r="13" spans="1:11" ht="28.05" customHeight="1" x14ac:dyDescent="0.3">
      <c r="A13" s="4">
        <v>5</v>
      </c>
      <c r="B13" s="5" t="s">
        <v>34</v>
      </c>
      <c r="C13" s="5" t="s">
        <v>58</v>
      </c>
      <c r="D13" s="5" t="s">
        <v>57</v>
      </c>
      <c r="E13" s="4" t="s">
        <v>28</v>
      </c>
      <c r="F13" s="6">
        <v>10</v>
      </c>
      <c r="G13" s="7">
        <v>255000</v>
      </c>
      <c r="H13" s="5" t="s">
        <v>35</v>
      </c>
    </row>
    <row r="14" spans="1:11" ht="28.05" customHeight="1" x14ac:dyDescent="0.3">
      <c r="A14" s="4">
        <v>6</v>
      </c>
      <c r="B14" s="5" t="s">
        <v>36</v>
      </c>
      <c r="C14" s="5" t="s">
        <v>37</v>
      </c>
      <c r="D14" s="5" t="s">
        <v>38</v>
      </c>
      <c r="E14" s="4" t="s">
        <v>28</v>
      </c>
      <c r="F14" s="6">
        <v>5</v>
      </c>
      <c r="G14" s="7">
        <f>F14*$G$3</f>
        <v>127500</v>
      </c>
      <c r="H14" s="5" t="s">
        <v>39</v>
      </c>
    </row>
    <row r="15" spans="1:11" ht="24" customHeight="1" x14ac:dyDescent="0.3">
      <c r="A15" s="18" t="s">
        <v>40</v>
      </c>
      <c r="B15" s="19"/>
      <c r="C15" s="19"/>
      <c r="D15" s="19"/>
      <c r="E15" s="19"/>
      <c r="F15" s="8">
        <f>SUM(F11:F14)</f>
        <v>35</v>
      </c>
      <c r="G15" s="9">
        <f>SUM(G11:G14)</f>
        <v>892500</v>
      </c>
      <c r="H15" s="10" t="s">
        <v>41</v>
      </c>
    </row>
    <row r="16" spans="1:11" ht="24" customHeight="1" x14ac:dyDescent="0.4">
      <c r="A16" s="25" t="s">
        <v>42</v>
      </c>
      <c r="B16" s="21"/>
      <c r="C16" s="21"/>
      <c r="D16" s="21"/>
      <c r="E16" s="21"/>
      <c r="F16" s="21"/>
      <c r="G16" s="21"/>
      <c r="H16" s="21"/>
    </row>
    <row r="17" spans="1:8" ht="28.05" customHeight="1" x14ac:dyDescent="0.3">
      <c r="A17" s="4">
        <v>7</v>
      </c>
      <c r="B17" s="5" t="s">
        <v>43</v>
      </c>
      <c r="C17" s="5" t="s">
        <v>44</v>
      </c>
      <c r="D17" s="5" t="s">
        <v>45</v>
      </c>
      <c r="E17" s="4" t="s">
        <v>28</v>
      </c>
      <c r="F17" s="6">
        <v>0</v>
      </c>
      <c r="G17" s="7">
        <v>0</v>
      </c>
      <c r="H17" s="5" t="s">
        <v>46</v>
      </c>
    </row>
    <row r="18" spans="1:8" ht="24" customHeight="1" x14ac:dyDescent="0.3">
      <c r="A18" s="18" t="s">
        <v>47</v>
      </c>
      <c r="B18" s="19"/>
      <c r="C18" s="19"/>
      <c r="D18" s="19"/>
      <c r="E18" s="19"/>
      <c r="F18" s="8">
        <f>F17</f>
        <v>0</v>
      </c>
      <c r="G18" s="9">
        <f>G17</f>
        <v>0</v>
      </c>
      <c r="H18" s="10" t="s">
        <v>48</v>
      </c>
    </row>
    <row r="19" spans="1:8" ht="30" customHeight="1" x14ac:dyDescent="0.35">
      <c r="A19" s="34" t="s">
        <v>55</v>
      </c>
      <c r="B19" s="35"/>
      <c r="C19" s="35"/>
      <c r="D19" s="35"/>
      <c r="E19" s="35"/>
      <c r="F19" s="11">
        <f>F15+F18</f>
        <v>35</v>
      </c>
      <c r="G19" s="12">
        <f>G15+G18</f>
        <v>892500</v>
      </c>
      <c r="H19" s="13"/>
    </row>
    <row r="20" spans="1:8" ht="30" customHeight="1" x14ac:dyDescent="0.35">
      <c r="A20" s="32"/>
      <c r="B20" s="33"/>
      <c r="C20" s="33"/>
      <c r="D20" s="33"/>
      <c r="E20" s="33"/>
      <c r="F20" s="14"/>
      <c r="G20" s="15"/>
      <c r="H20" s="16"/>
    </row>
    <row r="21" spans="1:8" ht="25.95" customHeight="1" x14ac:dyDescent="0.3">
      <c r="A21" s="18"/>
      <c r="B21" s="19"/>
      <c r="C21" s="19"/>
      <c r="D21" s="19"/>
      <c r="E21" s="19"/>
      <c r="F21" s="8"/>
      <c r="G21" s="9"/>
      <c r="H21" s="10"/>
    </row>
    <row r="23" spans="1:8" ht="24" customHeight="1" x14ac:dyDescent="0.35">
      <c r="A23" s="31" t="s">
        <v>49</v>
      </c>
      <c r="B23" s="21"/>
      <c r="C23" s="21"/>
      <c r="D23" s="21"/>
      <c r="E23" s="21"/>
      <c r="F23" s="21"/>
      <c r="G23" s="21"/>
      <c r="H23" s="21"/>
    </row>
    <row r="24" spans="1:8" ht="25.95" customHeight="1" x14ac:dyDescent="0.3">
      <c r="A24" s="30" t="s">
        <v>50</v>
      </c>
      <c r="B24" s="21"/>
      <c r="C24" s="21"/>
      <c r="D24" s="3" t="s">
        <v>51</v>
      </c>
      <c r="E24" s="3"/>
      <c r="F24" s="3"/>
      <c r="G24" s="30"/>
      <c r="H24" s="21"/>
    </row>
    <row r="25" spans="1:8" ht="24" customHeight="1" x14ac:dyDescent="0.3">
      <c r="A25" s="22" t="s">
        <v>52</v>
      </c>
      <c r="B25" s="21"/>
      <c r="C25" s="21"/>
      <c r="D25" s="7">
        <v>248000</v>
      </c>
      <c r="E25" s="7"/>
      <c r="F25" s="7"/>
      <c r="G25" s="20"/>
      <c r="H25" s="21"/>
    </row>
    <row r="26" spans="1:8" ht="24" customHeight="1" x14ac:dyDescent="0.3">
      <c r="A26" s="22" t="s">
        <v>56</v>
      </c>
      <c r="B26" s="21"/>
      <c r="C26" s="21"/>
      <c r="D26" s="7">
        <f>G19</f>
        <v>892500</v>
      </c>
      <c r="E26" s="7"/>
      <c r="F26" s="7"/>
      <c r="G26" s="20"/>
      <c r="H26" s="21"/>
    </row>
    <row r="27" spans="1:8" ht="24" customHeight="1" x14ac:dyDescent="0.3">
      <c r="A27" s="22" t="s">
        <v>53</v>
      </c>
      <c r="B27" s="21"/>
      <c r="C27" s="21"/>
      <c r="D27" s="7">
        <v>0</v>
      </c>
      <c r="E27" s="7"/>
      <c r="F27" s="7"/>
      <c r="G27" s="20"/>
      <c r="H27" s="21"/>
    </row>
    <row r="28" spans="1:8" ht="28.05" customHeight="1" x14ac:dyDescent="0.3">
      <c r="A28" s="29" t="s">
        <v>54</v>
      </c>
      <c r="B28" s="28"/>
      <c r="C28" s="28"/>
      <c r="D28" s="15">
        <f>SUM(D25:D27)</f>
        <v>1140500</v>
      </c>
      <c r="E28" s="12"/>
      <c r="F28" s="12"/>
      <c r="G28" s="27"/>
      <c r="H28" s="28"/>
    </row>
  </sheetData>
  <mergeCells count="22">
    <mergeCell ref="G28:H28"/>
    <mergeCell ref="A18:E18"/>
    <mergeCell ref="A21:E21"/>
    <mergeCell ref="A28:C28"/>
    <mergeCell ref="G24:H24"/>
    <mergeCell ref="A23:H23"/>
    <mergeCell ref="G26:H26"/>
    <mergeCell ref="A24:C24"/>
    <mergeCell ref="A20:E20"/>
    <mergeCell ref="G25:H25"/>
    <mergeCell ref="A19:E19"/>
    <mergeCell ref="A25:C25"/>
    <mergeCell ref="A15:E15"/>
    <mergeCell ref="G27:H27"/>
    <mergeCell ref="A27:C27"/>
    <mergeCell ref="A1:H1"/>
    <mergeCell ref="A26:C26"/>
    <mergeCell ref="A6:H6"/>
    <mergeCell ref="A16:H16"/>
    <mergeCell ref="A2:H2"/>
    <mergeCell ref="A10:H10"/>
    <mergeCell ref="A9:E9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Dự Toán Stack Đã Chọn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Do nho Tung</cp:lastModifiedBy>
  <dcterms:created xsi:type="dcterms:W3CDTF">2026-10-14T15:45:42Z</dcterms:created>
  <dcterms:modified xsi:type="dcterms:W3CDTF">2026-10-15T03:28:43Z</dcterms:modified>
</cp:coreProperties>
</file>